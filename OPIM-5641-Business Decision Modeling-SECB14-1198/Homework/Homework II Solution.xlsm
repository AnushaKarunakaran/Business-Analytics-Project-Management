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ush\Desktop\"/>
    </mc:Choice>
  </mc:AlternateContent>
  <xr:revisionPtr revIDLastSave="0" documentId="13_ncr:1_{F04AADCF-5213-4130-9592-3EE92ADAA388}" xr6:coauthVersionLast="44" xr6:coauthVersionMax="44" xr10:uidLastSave="{00000000-0000-0000-0000-000000000000}"/>
  <bookViews>
    <workbookView xWindow="-120" yWindow="-120" windowWidth="29040" windowHeight="15840" activeTab="2" xr2:uid="{00000000-000D-0000-FFFF-FFFF00000000}"/>
  </bookViews>
  <sheets>
    <sheet name="Portfolio" sheetId="1" r:id="rId1"/>
    <sheet name="Weblink(CNN)" sheetId="2" r:id="rId2"/>
    <sheet name="Historical Data" sheetId="3" r:id="rId3"/>
  </sheets>
  <definedNames>
    <definedName name="quote.html?symb_IBM_MSFT_ORCL_MRK_AMZN_BAC_GOOG_UTX_WMT_XOM_FB" localSheetId="1">'Weblink(CNN)'!$A$1:$H$219</definedName>
    <definedName name="solver_typ" localSheetId="0" hidden="1">2</definedName>
    <definedName name="solver_ver" localSheetId="0" hidden="1">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" i="1" l="1"/>
  <c r="J6" i="1"/>
  <c r="J7" i="1"/>
  <c r="J8" i="1"/>
  <c r="J9" i="1"/>
  <c r="J10" i="1"/>
  <c r="J11" i="1"/>
  <c r="J12" i="1"/>
  <c r="J13" i="1"/>
  <c r="J14" i="1"/>
  <c r="J4" i="1" l="1"/>
  <c r="J15" i="1" s="1"/>
  <c r="B17" i="1"/>
  <c r="F8" i="1" l="1"/>
  <c r="C7" i="1"/>
  <c r="F9" i="1"/>
  <c r="E8" i="1"/>
  <c r="E12" i="1"/>
  <c r="C8" i="1"/>
  <c r="F10" i="1"/>
  <c r="D5" i="1"/>
  <c r="G5" i="1" s="1"/>
  <c r="K5" i="1" s="1"/>
  <c r="L5" i="1" s="1"/>
  <c r="D9" i="1"/>
  <c r="G9" i="1" s="1"/>
  <c r="K9" i="1" s="1"/>
  <c r="L9" i="1" s="1"/>
  <c r="D13" i="1"/>
  <c r="G13" i="1" s="1"/>
  <c r="K13" i="1" s="1"/>
  <c r="L13" i="1" s="1"/>
  <c r="C9" i="1"/>
  <c r="F13" i="1"/>
  <c r="E10" i="1"/>
  <c r="C12" i="1"/>
  <c r="F14" i="1"/>
  <c r="D11" i="1"/>
  <c r="G11" i="1" s="1"/>
  <c r="K11" i="1" s="1"/>
  <c r="L11" i="1" s="1"/>
  <c r="C13" i="1"/>
  <c r="E7" i="1"/>
  <c r="C6" i="1"/>
  <c r="D12" i="1"/>
  <c r="G12" i="1" s="1"/>
  <c r="K12" i="1" s="1"/>
  <c r="L12" i="1" s="1"/>
  <c r="F11" i="1"/>
  <c r="E5" i="1"/>
  <c r="E9" i="1"/>
  <c r="E13" i="1"/>
  <c r="C10" i="1"/>
  <c r="F12" i="1"/>
  <c r="D6" i="1"/>
  <c r="G6" i="1" s="1"/>
  <c r="K6" i="1" s="1"/>
  <c r="L6" i="1" s="1"/>
  <c r="D10" i="1"/>
  <c r="G10" i="1" s="1"/>
  <c r="K10" i="1" s="1"/>
  <c r="L10" i="1" s="1"/>
  <c r="D14" i="1"/>
  <c r="G14" i="1" s="1"/>
  <c r="K14" i="1" s="1"/>
  <c r="L14" i="1" s="1"/>
  <c r="C11" i="1"/>
  <c r="F5" i="1"/>
  <c r="E6" i="1"/>
  <c r="E14" i="1"/>
  <c r="F6" i="1"/>
  <c r="D7" i="1"/>
  <c r="G7" i="1" s="1"/>
  <c r="K7" i="1" s="1"/>
  <c r="L7" i="1" s="1"/>
  <c r="C5" i="1"/>
  <c r="F7" i="1"/>
  <c r="E11" i="1"/>
  <c r="C14" i="1"/>
  <c r="D8" i="1"/>
  <c r="G8" i="1" s="1"/>
  <c r="K8" i="1" s="1"/>
  <c r="L8" i="1" s="1"/>
  <c r="F4" i="1"/>
  <c r="C3" i="1"/>
  <c r="E4" i="1"/>
  <c r="D4" i="1"/>
  <c r="C4" i="1"/>
  <c r="F3" i="1"/>
  <c r="E3" i="1"/>
  <c r="D3" i="1"/>
  <c r="G4" i="1" l="1"/>
  <c r="M6" i="1" s="1"/>
  <c r="D15" i="1"/>
  <c r="M11" i="1" l="1"/>
  <c r="M5" i="1"/>
  <c r="G15" i="1"/>
  <c r="K15" i="1" s="1"/>
  <c r="L15" i="1" s="1"/>
  <c r="M14" i="1"/>
  <c r="M13" i="1"/>
  <c r="M7" i="1"/>
  <c r="K4" i="1"/>
  <c r="L4" i="1" s="1"/>
  <c r="M8" i="1"/>
  <c r="M4" i="1"/>
  <c r="M10" i="1"/>
  <c r="M12" i="1"/>
  <c r="M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background="1" saveData="1">
    <webPr sourceData="1" parsePre="1" consecutive="1" xl2000="1" url="https://money.cnn.com/quote/quote.html?symb=IBM+MSFT+ORCL+MRK+AMZN+BAC+GOOG+UTX+WMT+XOM+FB"/>
  </connection>
</connections>
</file>

<file path=xl/sharedStrings.xml><?xml version="1.0" encoding="utf-8"?>
<sst xmlns="http://schemas.openxmlformats.org/spreadsheetml/2006/main" count="233" uniqueCount="197">
  <si>
    <t>Markets</t>
  </si>
  <si>
    <t>Tech</t>
  </si>
  <si>
    <t>Media</t>
  </si>
  <si>
    <t>Success</t>
  </si>
  <si>
    <t>Perspectives</t>
  </si>
  <si>
    <t>Video</t>
  </si>
  <si>
    <t>Premarkets</t>
  </si>
  <si>
    <t>Dow 30</t>
  </si>
  <si>
    <t>After-Hours</t>
  </si>
  <si>
    <t>Market Movers</t>
  </si>
  <si>
    <t>Fear &amp; Greed</t>
  </si>
  <si>
    <t>World Markets</t>
  </si>
  <si>
    <t>Sector Performance</t>
  </si>
  <si>
    <t>Investing</t>
  </si>
  <si>
    <t>Markets Now</t>
  </si>
  <si>
    <t>Before the Bell</t>
  </si>
  <si>
    <t>Economy</t>
  </si>
  <si>
    <t>Energy</t>
  </si>
  <si>
    <t>Innovate</t>
  </si>
  <si>
    <t>Gadget</t>
  </si>
  <si>
    <t>Mission: Ahead</t>
  </si>
  <si>
    <t>Upstarts</t>
  </si>
  <si>
    <t>Innovative Cities</t>
  </si>
  <si>
    <t>Reliable Sources</t>
  </si>
  <si>
    <t>Boss Files</t>
  </si>
  <si>
    <t>Fresh Money</t>
  </si>
  <si>
    <t>Cars</t>
  </si>
  <si>
    <t>Homes</t>
  </si>
  <si>
    <t>Biz + Leisure</t>
  </si>
  <si>
    <t>Center Piece</t>
  </si>
  <si>
    <t>International</t>
  </si>
  <si>
    <t>Switzerland</t>
  </si>
  <si>
    <t>India</t>
  </si>
  <si>
    <t>Passion to Portfolio</t>
  </si>
  <si>
    <t>On: Germany</t>
  </si>
  <si>
    <t>More</t>
  </si>
  <si>
    <t>Newsletters</t>
  </si>
  <si>
    <t>About Us</t>
  </si>
  <si>
    <t>Accessibility and CC</t>
  </si>
  <si>
    <t>U.S.</t>
  </si>
  <si>
    <t>World</t>
  </si>
  <si>
    <t>Politics</t>
  </si>
  <si>
    <t>Business</t>
  </si>
  <si>
    <t>Opinion</t>
  </si>
  <si>
    <t>Health</t>
  </si>
  <si>
    <t>Entertainment</t>
  </si>
  <si>
    <t>Style</t>
  </si>
  <si>
    <t>Travel</t>
  </si>
  <si>
    <t>Sports</t>
  </si>
  <si>
    <t>Shop</t>
  </si>
  <si>
    <t>VR</t>
  </si>
  <si>
    <t>More...</t>
  </si>
  <si>
    <t>Follow CNN Business</t>
  </si>
  <si>
    <t>Multiquote results</t>
  </si>
  <si>
    <t>Stocks</t>
  </si>
  <si>
    <t>Company</t>
  </si>
  <si>
    <t>Price</t>
  </si>
  <si>
    <t>Change</t>
  </si>
  <si>
    <t>% Change</t>
  </si>
  <si>
    <t>P/E</t>
  </si>
  <si>
    <t>Volume</t>
  </si>
  <si>
    <t>YTD change</t>
  </si>
  <si>
    <t>AMZN Amazon.com Inc</t>
  </si>
  <si>
    <t>BAC Bank of America Corp</t>
  </si>
  <si>
    <t>GOOG Alphabet Inc</t>
  </si>
  <si>
    <t>IBM International Business Machine...</t>
  </si>
  <si>
    <t>MRK Merck &amp; Co Inc</t>
  </si>
  <si>
    <t>MSFT Microsoft Corp</t>
  </si>
  <si>
    <t>ORCL Oracle Corp</t>
  </si>
  <si>
    <t>UTX United Technologies Corp</t>
  </si>
  <si>
    <t>WMT Walmart Inc</t>
  </si>
  <si>
    <t>XOM Exxon Mobil Corp</t>
  </si>
  <si>
    <t>Partner Offers</t>
  </si>
  <si>
    <t>Paid Partner</t>
  </si>
  <si>
    <t>SmartAsset</t>
  </si>
  <si>
    <t xml:space="preserve">The Motley Fool </t>
  </si>
  <si>
    <t>You Can Still Buy This "Millionaire Maker" Stock</t>
  </si>
  <si>
    <t>Bitcoin Up 30,000X -- Here's Your Backdoor In</t>
  </si>
  <si>
    <t>Motley Fool Issues Rare Triple-Buy Alert</t>
  </si>
  <si>
    <t>This Stock Could Be Like Buying Amazon for $3.19</t>
  </si>
  <si>
    <t>U.S</t>
  </si>
  <si>
    <t>Crime + Justice</t>
  </si>
  <si>
    <t>Energy + Environment</t>
  </si>
  <si>
    <t>Extreme Weather</t>
  </si>
  <si>
    <t>Space + Science</t>
  </si>
  <si>
    <t>Africa</t>
  </si>
  <si>
    <t>Americas</t>
  </si>
  <si>
    <t>Asia</t>
  </si>
  <si>
    <t>Australia</t>
  </si>
  <si>
    <t>Europe</t>
  </si>
  <si>
    <t>Middle East</t>
  </si>
  <si>
    <t>UK</t>
  </si>
  <si>
    <t>Congress</t>
  </si>
  <si>
    <t>Supreme Court</t>
  </si>
  <si>
    <t>Key Races</t>
  </si>
  <si>
    <t>Primary Results</t>
  </si>
  <si>
    <t>Political Op-Eds</t>
  </si>
  <si>
    <t>Social Commentary</t>
  </si>
  <si>
    <t>Food</t>
  </si>
  <si>
    <t>Fitness</t>
  </si>
  <si>
    <t>Wellness</t>
  </si>
  <si>
    <t>Parenting</t>
  </si>
  <si>
    <t>Vital Signs</t>
  </si>
  <si>
    <t>Stars</t>
  </si>
  <si>
    <t>Screen</t>
  </si>
  <si>
    <t>Binge</t>
  </si>
  <si>
    <t>Culture</t>
  </si>
  <si>
    <t>Arts</t>
  </si>
  <si>
    <t>Design</t>
  </si>
  <si>
    <t>Fashion</t>
  </si>
  <si>
    <t>Architecture</t>
  </si>
  <si>
    <t>Luxury</t>
  </si>
  <si>
    <t>Autos</t>
  </si>
  <si>
    <t>Destinations</t>
  </si>
  <si>
    <t>Food &amp; Drink</t>
  </si>
  <si>
    <t>Play</t>
  </si>
  <si>
    <t>Stay</t>
  </si>
  <si>
    <t>Videos</t>
  </si>
  <si>
    <t>Pro Football</t>
  </si>
  <si>
    <t>College Football</t>
  </si>
  <si>
    <t>Basketball</t>
  </si>
  <si>
    <t>Baseball</t>
  </si>
  <si>
    <t>Soccer</t>
  </si>
  <si>
    <t>Olympics</t>
  </si>
  <si>
    <t>Live TV</t>
  </si>
  <si>
    <t>Digital Studios</t>
  </si>
  <si>
    <t>CNN Films</t>
  </si>
  <si>
    <t>HLNTV</t>
  </si>
  <si>
    <t>Schedule</t>
  </si>
  <si>
    <t>TV Shows A-Z</t>
  </si>
  <si>
    <t>CNNVR</t>
  </si>
  <si>
    <t>CNN Underscored</t>
  </si>
  <si>
    <t>-Explore</t>
  </si>
  <si>
    <t>-Wellness</t>
  </si>
  <si>
    <t>-Gadgets</t>
  </si>
  <si>
    <t>-Lifestyle</t>
  </si>
  <si>
    <t>CNN Store</t>
  </si>
  <si>
    <t>Photos</t>
  </si>
  <si>
    <t>Longform</t>
  </si>
  <si>
    <t>Investigations</t>
  </si>
  <si>
    <t>CNN Profiles</t>
  </si>
  <si>
    <t>CNN Leadership</t>
  </si>
  <si>
    <t>CNN Newsletters</t>
  </si>
  <si>
    <t>Work for CNN</t>
  </si>
  <si>
    <t>CNN Sansâ„¢ &amp; © 2016 Cable News Network.</t>
  </si>
  <si>
    <t>Quantcast</t>
  </si>
  <si>
    <t>Offset</t>
  </si>
  <si>
    <t>Value</t>
  </si>
  <si>
    <t>Shares</t>
  </si>
  <si>
    <t>Cost/Share</t>
  </si>
  <si>
    <t>Total Cost</t>
  </si>
  <si>
    <t>Gain/Loss</t>
  </si>
  <si>
    <t>Gain/Loss%</t>
  </si>
  <si>
    <t>Portfolio Allocation</t>
  </si>
  <si>
    <t>Portfolio</t>
  </si>
  <si>
    <t>Real-Time Data</t>
  </si>
  <si>
    <t>Historical Data</t>
  </si>
  <si>
    <t>Performance Data</t>
  </si>
  <si>
    <t>CNN.comCNN Business</t>
  </si>
  <si>
    <t>Leading Indicator</t>
  </si>
  <si>
    <t>Global Energy Challenge</t>
  </si>
  <si>
    <t>Business Evolved</t>
  </si>
  <si>
    <t>Work Transformed</t>
  </si>
  <si>
    <t>Unhackable</t>
  </si>
  <si>
    <t>Wealth Coach</t>
  </si>
  <si>
    <t>Davos</t>
  </si>
  <si>
    <t>Hire a pro: Compare 3 financial advisors in your area</t>
  </si>
  <si>
    <t>These savings accounts earn more than 9x the national average</t>
  </si>
  <si>
    <t>These are your 3 financial advisors near you</t>
  </si>
  <si>
    <t>Does your savings account pay you as little as 0.01%?</t>
  </si>
  <si>
    <t>Most stock quote data provided by BATS. Market indices are shown in real time, except for the DJIA, which is delayed by two minutes. All times are ET. Disclaimer. Morningstar: © 2019 Morningstar, Inc. All Rights Reserved. Factset: FactSet Research Systems Inc.2019. All rights reserved. Chicago Mercantile Association: Certain market data is the property of Chicago Mercantile Exchange Inc. and its licensors. All rights reserved. Dow Jones: The Dow Jones branded indices are proprietary to and are calculated, distributed and marketed by DJI Opco, a subsidiary of S&amp;P Dow Jones Indices LLC and have been licensed for use to S&amp;P Opco, LLC and CNN. Standard &amp; Poor's and S&amp;P are registered trademarks of Standard &amp; Poor's Financial Services LLC and Dow Jones is a registered trademark of Dow Jones Trademark Holdings LLC. All content of the Dow Jones branded indices © S&amp;P Dow Jones Indices LLC 2019 and/or its affiliates.</t>
  </si>
  <si>
    <t>© 2019 Cable News Network. Turner Broadcasting System, Inc. All Rights Reserved.</t>
  </si>
  <si>
    <t>Newsletters Contact Us Terms of Use Privacy Policy Cookie Settings Accessibiliy &amp; CC AdChoices</t>
  </si>
  <si>
    <t>FB Facebook Inc</t>
  </si>
  <si>
    <t>AMZN</t>
  </si>
  <si>
    <t>BAC</t>
  </si>
  <si>
    <t>FB</t>
  </si>
  <si>
    <t>GOOG</t>
  </si>
  <si>
    <t>IBM</t>
  </si>
  <si>
    <t>MRK</t>
  </si>
  <si>
    <t>MSFT</t>
  </si>
  <si>
    <t>ORCL</t>
  </si>
  <si>
    <t>UTX</t>
  </si>
  <si>
    <t>WMT</t>
  </si>
  <si>
    <t>XOM</t>
  </si>
  <si>
    <t>5.6M</t>
  </si>
  <si>
    <t>167.8M</t>
  </si>
  <si>
    <t>20.4M</t>
  </si>
  <si>
    <t>2.3M</t>
  </si>
  <si>
    <t>5.2M</t>
  </si>
  <si>
    <t>22.7M</t>
  </si>
  <si>
    <t>40.0M</t>
  </si>
  <si>
    <t>59.8M</t>
  </si>
  <si>
    <t>5.3M</t>
  </si>
  <si>
    <t>11.6M</t>
  </si>
  <si>
    <t>19.9M</t>
  </si>
  <si>
    <t>6:30pm ET, 09/20/2019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</si>
</sst>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_(&quot;$&quot;* #,##0_);_(&quot;$&quot;* \(#,##0\);_(&quot;$&quot;* &quot;-&quot;??_);_(@_)"/>
    <numFmt numFmtId="166" formatCode="&quot;$&quot;#,#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4" fontId="0" fillId="0" borderId="0" xfId="0" applyNumberFormat="1"/>
    <xf numFmtId="10" fontId="0" fillId="0" borderId="0" xfId="0" applyNumberFormat="1"/>
    <xf numFmtId="0" fontId="0" fillId="0" borderId="4" xfId="0" applyBorder="1"/>
    <xf numFmtId="164" fontId="0" fillId="0" borderId="0" xfId="0" applyNumberFormat="1" applyBorder="1"/>
    <xf numFmtId="10" fontId="0" fillId="0" borderId="0" xfId="0" applyNumberFormat="1" applyBorder="1"/>
    <xf numFmtId="10" fontId="0" fillId="0" borderId="5" xfId="0" applyNumberFormat="1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0" xfId="0" applyFont="1" applyBorder="1"/>
    <xf numFmtId="0" fontId="1" fillId="0" borderId="0" xfId="0" applyFont="1" applyBorder="1"/>
    <xf numFmtId="0" fontId="1" fillId="0" borderId="5" xfId="0" applyFont="1" applyBorder="1"/>
    <xf numFmtId="0" fontId="1" fillId="0" borderId="4" xfId="0" applyFont="1" applyBorder="1"/>
    <xf numFmtId="164" fontId="0" fillId="0" borderId="4" xfId="0" applyNumberFormat="1" applyBorder="1"/>
    <xf numFmtId="165" fontId="0" fillId="0" borderId="5" xfId="0" applyNumberFormat="1" applyBorder="1"/>
    <xf numFmtId="165" fontId="0" fillId="0" borderId="8" xfId="0" applyNumberForma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166" fontId="0" fillId="0" borderId="4" xfId="0" applyNumberFormat="1" applyBorder="1"/>
    <xf numFmtId="166" fontId="0" fillId="0" borderId="15" xfId="0" applyNumberFormat="1" applyBorder="1"/>
    <xf numFmtId="10" fontId="0" fillId="0" borderId="16" xfId="0" applyNumberFormat="1" applyBorder="1"/>
    <xf numFmtId="0" fontId="0" fillId="0" borderId="17" xfId="0" applyBorder="1"/>
    <xf numFmtId="164" fontId="0" fillId="0" borderId="6" xfId="0" applyNumberFormat="1" applyBorder="1"/>
    <xf numFmtId="0" fontId="2" fillId="0" borderId="0" xfId="0" applyFont="1"/>
    <xf numFmtId="0" fontId="3" fillId="0" borderId="0" xfId="0" applyFont="1"/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</cellXfs>
  <cellStyles count="1">
    <cellStyle name="Normal" xfId="0" builtinId="0"/>
  </cellStyles>
  <dxfs count="10"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5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'Historical Data'!$L$1</c:f>
              <c:strCache>
                <c:ptCount val="1"/>
                <c:pt idx="0">
                  <c:v>Portfolio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'Historical Data'!$L$3:$L$55</c:f>
              <c:numCache>
                <c:formatCode>General</c:formatCode>
                <c:ptCount val="53"/>
                <c:pt idx="0">
                  <c:v>3988.19</c:v>
                </c:pt>
                <c:pt idx="1">
                  <c:v>3988.19</c:v>
                </c:pt>
                <c:pt idx="2">
                  <c:v>3988.19</c:v>
                </c:pt>
                <c:pt idx="3">
                  <c:v>3988.19</c:v>
                </c:pt>
                <c:pt idx="4">
                  <c:v>3988.19</c:v>
                </c:pt>
                <c:pt idx="5">
                  <c:v>3988.19</c:v>
                </c:pt>
                <c:pt idx="6">
                  <c:v>3988.19</c:v>
                </c:pt>
                <c:pt idx="7">
                  <c:v>3988.19</c:v>
                </c:pt>
                <c:pt idx="8">
                  <c:v>3988.19</c:v>
                </c:pt>
                <c:pt idx="9">
                  <c:v>3988.19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87-46B0-8501-B4526D05A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309488"/>
        <c:axId val="1985844848"/>
      </c:lineChart>
      <c:catAx>
        <c:axId val="2070309488"/>
        <c:scaling>
          <c:orientation val="maxMin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844848"/>
        <c:crosses val="autoZero"/>
        <c:auto val="1"/>
        <c:lblAlgn val="ctr"/>
        <c:lblOffset val="100"/>
        <c:noMultiLvlLbl val="0"/>
      </c:catAx>
      <c:valAx>
        <c:axId val="1985844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30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5</xdr:row>
          <xdr:rowOff>28575</xdr:rowOff>
        </xdr:from>
        <xdr:to>
          <xdr:col>0</xdr:col>
          <xdr:colOff>2190750</xdr:colOff>
          <xdr:row>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9</xdr:row>
          <xdr:rowOff>28575</xdr:rowOff>
        </xdr:from>
        <xdr:to>
          <xdr:col>0</xdr:col>
          <xdr:colOff>2247900</xdr:colOff>
          <xdr:row>12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Store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323849</xdr:colOff>
      <xdr:row>12</xdr:row>
      <xdr:rowOff>19050</xdr:rowOff>
    </xdr:from>
    <xdr:to>
      <xdr:col>26</xdr:col>
      <xdr:colOff>9524</xdr:colOff>
      <xdr:row>30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390525</xdr:colOff>
          <xdr:row>2</xdr:row>
          <xdr:rowOff>123825</xdr:rowOff>
        </xdr:from>
        <xdr:to>
          <xdr:col>19</xdr:col>
          <xdr:colOff>200025</xdr:colOff>
          <xdr:row>4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7A08B4DD-A58B-4321-AEDB-85935C8D46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Portfolio Chart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ote.html?symb=IBM+MSFT+ORCL+MRK+AMZN+BAC+GOOG+UTX+WMT+XOM+FB" connectionId="1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7"/>
  <sheetViews>
    <sheetView zoomScale="88" workbookViewId="0">
      <selection activeCell="D4" sqref="D4:D15"/>
    </sheetView>
  </sheetViews>
  <sheetFormatPr defaultRowHeight="15" x14ac:dyDescent="0.25"/>
  <cols>
    <col min="1" max="1" width="45.85546875" customWidth="1"/>
    <col min="2" max="2" width="10.28515625" customWidth="1"/>
    <col min="3" max="3" width="32.7109375" bestFit="1" customWidth="1"/>
    <col min="4" max="4" width="11" customWidth="1"/>
    <col min="7" max="7" width="12.140625" bestFit="1" customWidth="1"/>
    <col min="9" max="9" width="10.42578125" customWidth="1"/>
    <col min="10" max="10" width="12.140625" bestFit="1" customWidth="1"/>
    <col min="11" max="11" width="10.42578125" bestFit="1" customWidth="1"/>
    <col min="13" max="13" width="16.7109375" bestFit="1" customWidth="1"/>
  </cols>
  <sheetData>
    <row r="1" spans="3:13" ht="15.75" thickBot="1" x14ac:dyDescent="0.3"/>
    <row r="2" spans="3:13" ht="24.95" customHeight="1" thickBot="1" x14ac:dyDescent="0.3">
      <c r="C2" s="9"/>
      <c r="D2" s="29" t="s">
        <v>155</v>
      </c>
      <c r="E2" s="30"/>
      <c r="F2" s="30"/>
      <c r="G2" s="31"/>
      <c r="H2" s="32" t="s">
        <v>156</v>
      </c>
      <c r="I2" s="32"/>
      <c r="J2" s="33"/>
      <c r="K2" s="34" t="s">
        <v>157</v>
      </c>
      <c r="L2" s="32"/>
      <c r="M2" s="33"/>
    </row>
    <row r="3" spans="3:13" x14ac:dyDescent="0.25">
      <c r="C3" s="12" t="str">
        <f ca="1">OFFSET('Weblink(CNN)'!A1,Portfolio!$B$17,0)</f>
        <v>Company</v>
      </c>
      <c r="D3" s="15" t="str">
        <f ca="1">OFFSET('Weblink(CNN)'!B1,Portfolio!$B$17,0)</f>
        <v>Price</v>
      </c>
      <c r="E3" s="13" t="str">
        <f ca="1">OFFSET('Weblink(CNN)'!C1,Portfolio!$B$17,0)</f>
        <v>Change</v>
      </c>
      <c r="F3" s="13" t="str">
        <f ca="1">OFFSET('Weblink(CNN)'!D1,Portfolio!$B$17,0)</f>
        <v>% Change</v>
      </c>
      <c r="G3" s="14" t="s">
        <v>147</v>
      </c>
      <c r="H3" s="19" t="s">
        <v>148</v>
      </c>
      <c r="I3" s="20" t="s">
        <v>149</v>
      </c>
      <c r="J3" s="21" t="s">
        <v>150</v>
      </c>
      <c r="K3" s="19" t="s">
        <v>151</v>
      </c>
      <c r="L3" s="20" t="s">
        <v>152</v>
      </c>
      <c r="M3" s="21" t="s">
        <v>153</v>
      </c>
    </row>
    <row r="4" spans="3:13" x14ac:dyDescent="0.25">
      <c r="C4" s="10" t="str">
        <f ca="1">OFFSET('Weblink(CNN)'!A2,Portfolio!$B$17,0)</f>
        <v>AMZN Amazon.com Inc</v>
      </c>
      <c r="D4" s="16">
        <f ca="1">OFFSET('Weblink(CNN)'!B2,Portfolio!$B$17,0)</f>
        <v>1794.16</v>
      </c>
      <c r="E4" s="4">
        <f ca="1">OFFSET('Weblink(CNN)'!C2,Portfolio!$B$17,0)</f>
        <v>-27.34</v>
      </c>
      <c r="F4" s="5">
        <f ca="1">OFFSET('Weblink(CNN)'!D2,Portfolio!$B$17,0)</f>
        <v>-1.4999999999999999E-2</v>
      </c>
      <c r="G4" s="17">
        <f ca="1">$D4*$H4</f>
        <v>179416</v>
      </c>
      <c r="H4" s="3">
        <v>100</v>
      </c>
      <c r="I4" s="4">
        <v>853.25</v>
      </c>
      <c r="J4" s="17">
        <f>$H4*$I4</f>
        <v>85325</v>
      </c>
      <c r="K4" s="22">
        <f ca="1">$G4-$J4</f>
        <v>94091</v>
      </c>
      <c r="L4" s="5">
        <f ca="1">$K4/$J4</f>
        <v>1.1027365953706416</v>
      </c>
      <c r="M4" s="6">
        <f ca="1">$G4/SUM($G$4:$G$14)</f>
        <v>0.26859647652011448</v>
      </c>
    </row>
    <row r="5" spans="3:13" x14ac:dyDescent="0.25">
      <c r="C5" s="10" t="str">
        <f ca="1">OFFSET('Weblink(CNN)'!A3,Portfolio!$B$17,0)</f>
        <v>BAC Bank of America Corp</v>
      </c>
      <c r="D5" s="16">
        <f ca="1">OFFSET('Weblink(CNN)'!B3,Portfolio!$B$17,0)</f>
        <v>29.59</v>
      </c>
      <c r="E5" s="4">
        <f ca="1">OFFSET('Weblink(CNN)'!C3,Portfolio!$B$17,0)</f>
        <v>-0.23</v>
      </c>
      <c r="F5" s="5">
        <f ca="1">OFFSET('Weblink(CNN)'!D3,Portfolio!$B$17,0)</f>
        <v>-7.7000000000000002E-3</v>
      </c>
      <c r="G5" s="17">
        <f t="shared" ref="G5:G14" ca="1" si="0">$D5*$H5</f>
        <v>29590</v>
      </c>
      <c r="H5" s="3">
        <v>1000</v>
      </c>
      <c r="I5" s="4">
        <v>26.54</v>
      </c>
      <c r="J5" s="17">
        <f t="shared" ref="J5:J14" si="1">$H5*$I5</f>
        <v>26540</v>
      </c>
      <c r="K5" s="22">
        <f t="shared" ref="K5:K13" ca="1" si="2">$G5-$J5</f>
        <v>3050</v>
      </c>
      <c r="L5" s="5">
        <f t="shared" ref="L5:L14" ca="1" si="3">$K5/$J5</f>
        <v>0.11492087415222306</v>
      </c>
      <c r="M5" s="6">
        <f t="shared" ref="M5:M14" ca="1" si="4">$G5/SUM($G$4:$G$14)</f>
        <v>4.429799873049331E-2</v>
      </c>
    </row>
    <row r="6" spans="3:13" x14ac:dyDescent="0.25">
      <c r="C6" s="10" t="str">
        <f ca="1">OFFSET('Weblink(CNN)'!A4,Portfolio!$B$17,0)</f>
        <v>FB Facebook Inc</v>
      </c>
      <c r="D6" s="16">
        <f ca="1">OFFSET('Weblink(CNN)'!B4,Portfolio!$B$17,0)</f>
        <v>189.93</v>
      </c>
      <c r="E6" s="4">
        <f ca="1">OFFSET('Weblink(CNN)'!C4,Portfolio!$B$17,0)</f>
        <v>-0.21</v>
      </c>
      <c r="F6" s="5">
        <f ca="1">OFFSET('Weblink(CNN)'!D4,Portfolio!$B$17,0)</f>
        <v>-1.1000000000000001E-3</v>
      </c>
      <c r="G6" s="17">
        <f t="shared" ca="1" si="0"/>
        <v>18993</v>
      </c>
      <c r="H6">
        <v>100</v>
      </c>
      <c r="I6">
        <v>150.68</v>
      </c>
      <c r="J6" s="17">
        <f t="shared" si="1"/>
        <v>15068</v>
      </c>
      <c r="K6" s="22">
        <f t="shared" ca="1" si="2"/>
        <v>3925</v>
      </c>
      <c r="L6" s="5">
        <f t="shared" ca="1" si="3"/>
        <v>0.26048579771701619</v>
      </c>
      <c r="M6" s="6">
        <f t="shared" ca="1" si="4"/>
        <v>2.8433656299028706E-2</v>
      </c>
    </row>
    <row r="7" spans="3:13" x14ac:dyDescent="0.25">
      <c r="C7" s="10" t="str">
        <f ca="1">OFFSET('Weblink(CNN)'!A5,Portfolio!$B$17,0)</f>
        <v>GOOG Alphabet Inc</v>
      </c>
      <c r="D7" s="16">
        <f ca="1">OFFSET('Weblink(CNN)'!B5,Portfolio!$B$17,0)</f>
        <v>1229.93</v>
      </c>
      <c r="E7" s="4">
        <f ca="1">OFFSET('Weblink(CNN)'!C5,Portfolio!$B$17,0)</f>
        <v>-8.7799999999999994</v>
      </c>
      <c r="F7" s="5">
        <f ca="1">OFFSET('Weblink(CNN)'!D5,Portfolio!$B$17,0)</f>
        <v>-7.1000000000000004E-3</v>
      </c>
      <c r="G7" s="17">
        <f t="shared" ca="1" si="0"/>
        <v>122993</v>
      </c>
      <c r="H7" s="3">
        <v>100</v>
      </c>
      <c r="I7" s="4">
        <v>562.35</v>
      </c>
      <c r="J7" s="17">
        <f t="shared" si="1"/>
        <v>56235</v>
      </c>
      <c r="K7" s="22">
        <f t="shared" ca="1" si="2"/>
        <v>66758</v>
      </c>
      <c r="L7" s="5">
        <f t="shared" ca="1" si="3"/>
        <v>1.1871254556770694</v>
      </c>
      <c r="M7" s="6">
        <f t="shared" ca="1" si="4"/>
        <v>0.18412787285770746</v>
      </c>
    </row>
    <row r="8" spans="3:13" x14ac:dyDescent="0.25">
      <c r="C8" s="10" t="str">
        <f ca="1">OFFSET('Weblink(CNN)'!A6,Portfolio!$B$17,0)</f>
        <v>IBM International Business Machine...</v>
      </c>
      <c r="D8" s="16">
        <f ca="1">OFFSET('Weblink(CNN)'!B6,Portfolio!$B$17,0)</f>
        <v>141.88</v>
      </c>
      <c r="E8" s="4">
        <f ca="1">OFFSET('Weblink(CNN)'!C6,Portfolio!$B$17,0)</f>
        <v>-1.0900000000000001</v>
      </c>
      <c r="F8" s="5">
        <f ca="1">OFFSET('Weblink(CNN)'!D6,Portfolio!$B$17,0)</f>
        <v>-7.6E-3</v>
      </c>
      <c r="G8" s="17">
        <f t="shared" ca="1" si="0"/>
        <v>70940</v>
      </c>
      <c r="H8" s="3">
        <v>500</v>
      </c>
      <c r="I8" s="4">
        <v>182.1</v>
      </c>
      <c r="J8" s="17">
        <f t="shared" si="1"/>
        <v>91050</v>
      </c>
      <c r="K8" s="22">
        <f t="shared" ca="1" si="2"/>
        <v>-20110</v>
      </c>
      <c r="L8" s="5">
        <f t="shared" ca="1" si="3"/>
        <v>-0.22086765513454146</v>
      </c>
      <c r="M8" s="6">
        <f t="shared" ca="1" si="4"/>
        <v>0.10620142041031415</v>
      </c>
    </row>
    <row r="9" spans="3:13" x14ac:dyDescent="0.25">
      <c r="C9" s="10" t="str">
        <f ca="1">OFFSET('Weblink(CNN)'!A7,Portfolio!$B$17,0)</f>
        <v>MRK Merck &amp; Co Inc</v>
      </c>
      <c r="D9" s="16">
        <f ca="1">OFFSET('Weblink(CNN)'!B7,Portfolio!$B$17,0)</f>
        <v>85.16</v>
      </c>
      <c r="E9" s="4">
        <f ca="1">OFFSET('Weblink(CNN)'!C7,Portfolio!$B$17,0)</f>
        <v>1.19</v>
      </c>
      <c r="F9" s="5">
        <f ca="1">OFFSET('Weblink(CNN)'!D7,Portfolio!$B$17,0)</f>
        <v>1.4200000000000001E-2</v>
      </c>
      <c r="G9" s="17">
        <f t="shared" ca="1" si="0"/>
        <v>34064</v>
      </c>
      <c r="H9" s="3">
        <v>400</v>
      </c>
      <c r="I9" s="4">
        <v>38.25</v>
      </c>
      <c r="J9" s="17">
        <f t="shared" si="1"/>
        <v>15300</v>
      </c>
      <c r="K9" s="22">
        <f t="shared" ca="1" si="2"/>
        <v>18764</v>
      </c>
      <c r="L9" s="5">
        <f t="shared" ca="1" si="3"/>
        <v>1.2264052287581699</v>
      </c>
      <c r="M9" s="6">
        <f t="shared" ca="1" si="4"/>
        <v>5.09958441620657E-2</v>
      </c>
    </row>
    <row r="10" spans="3:13" x14ac:dyDescent="0.25">
      <c r="C10" s="10" t="str">
        <f ca="1">OFFSET('Weblink(CNN)'!A8,Portfolio!$B$17,0)</f>
        <v>MSFT Microsoft Corp</v>
      </c>
      <c r="D10" s="16">
        <f ca="1">OFFSET('Weblink(CNN)'!B8,Portfolio!$B$17,0)</f>
        <v>139.44</v>
      </c>
      <c r="E10" s="4">
        <f ca="1">OFFSET('Weblink(CNN)'!C8,Portfolio!$B$17,0)</f>
        <v>-1.63</v>
      </c>
      <c r="F10" s="5">
        <f ca="1">OFFSET('Weblink(CNN)'!D8,Portfolio!$B$17,0)</f>
        <v>-1.1599999999999999E-2</v>
      </c>
      <c r="G10" s="17">
        <f t="shared" ca="1" si="0"/>
        <v>69720</v>
      </c>
      <c r="H10" s="3">
        <v>500</v>
      </c>
      <c r="I10" s="4">
        <v>66.7</v>
      </c>
      <c r="J10" s="17">
        <f t="shared" si="1"/>
        <v>33350</v>
      </c>
      <c r="K10" s="22">
        <f t="shared" ca="1" si="2"/>
        <v>36370</v>
      </c>
      <c r="L10" s="5">
        <f t="shared" ca="1" si="3"/>
        <v>1.0905547226386807</v>
      </c>
      <c r="M10" s="6">
        <f t="shared" ca="1" si="4"/>
        <v>0.10437500748529888</v>
      </c>
    </row>
    <row r="11" spans="3:13" x14ac:dyDescent="0.25">
      <c r="C11" s="10" t="str">
        <f ca="1">OFFSET('Weblink(CNN)'!A9,Portfolio!$B$17,0)</f>
        <v>ORCL Oracle Corp</v>
      </c>
      <c r="D11" s="16">
        <f ca="1">OFFSET('Weblink(CNN)'!B9,Portfolio!$B$17,0)</f>
        <v>53.47</v>
      </c>
      <c r="E11" s="4">
        <f ca="1">OFFSET('Weblink(CNN)'!C9,Portfolio!$B$17,0)</f>
        <v>0.1</v>
      </c>
      <c r="F11" s="5">
        <f ca="1">OFFSET('Weblink(CNN)'!D9,Portfolio!$B$17,0)</f>
        <v>1.9E-3</v>
      </c>
      <c r="G11" s="17">
        <f t="shared" ca="1" si="0"/>
        <v>21388</v>
      </c>
      <c r="H11" s="3">
        <v>400</v>
      </c>
      <c r="I11" s="4">
        <v>112.3</v>
      </c>
      <c r="J11" s="17">
        <f t="shared" si="1"/>
        <v>44920</v>
      </c>
      <c r="K11" s="22">
        <f t="shared" ca="1" si="2"/>
        <v>-23532</v>
      </c>
      <c r="L11" s="5">
        <f t="shared" ca="1" si="3"/>
        <v>-0.5238646482635797</v>
      </c>
      <c r="M11" s="6">
        <f t="shared" ca="1" si="4"/>
        <v>3.2019114459202129E-2</v>
      </c>
    </row>
    <row r="12" spans="3:13" x14ac:dyDescent="0.25">
      <c r="C12" s="10" t="str">
        <f ca="1">OFFSET('Weblink(CNN)'!A10,Portfolio!$B$17,0)</f>
        <v>UTX United Technologies Corp</v>
      </c>
      <c r="D12" s="16">
        <f ca="1">OFFSET('Weblink(CNN)'!B10,Portfolio!$B$17,0)</f>
        <v>135.57</v>
      </c>
      <c r="E12" s="4">
        <f ca="1">OFFSET('Weblink(CNN)'!C10,Portfolio!$B$17,0)</f>
        <v>-1.96</v>
      </c>
      <c r="F12" s="5">
        <f ca="1">OFFSET('Weblink(CNN)'!D10,Portfolio!$B$17,0)</f>
        <v>-1.43E-2</v>
      </c>
      <c r="G12" s="17">
        <f t="shared" ca="1" si="0"/>
        <v>54228</v>
      </c>
      <c r="H12" s="3">
        <v>400</v>
      </c>
      <c r="I12" s="4">
        <v>81.25</v>
      </c>
      <c r="J12" s="17">
        <f t="shared" si="1"/>
        <v>32500</v>
      </c>
      <c r="K12" s="22">
        <f t="shared" ca="1" si="2"/>
        <v>21728</v>
      </c>
      <c r="L12" s="5">
        <f t="shared" ca="1" si="3"/>
        <v>0.66855384615384617</v>
      </c>
      <c r="M12" s="6">
        <f t="shared" ca="1" si="4"/>
        <v>8.118255745715415E-2</v>
      </c>
    </row>
    <row r="13" spans="3:13" x14ac:dyDescent="0.25">
      <c r="C13" s="10" t="str">
        <f ca="1">OFFSET('Weblink(CNN)'!A11,Portfolio!$B$17,0)</f>
        <v>WMT Walmart Inc</v>
      </c>
      <c r="D13" s="16">
        <f ca="1">OFFSET('Weblink(CNN)'!B11,Portfolio!$B$17,0)</f>
        <v>116.98</v>
      </c>
      <c r="E13" s="4">
        <f ca="1">OFFSET('Weblink(CNN)'!C11,Portfolio!$B$17,0)</f>
        <v>-0.13</v>
      </c>
      <c r="F13" s="5">
        <f ca="1">OFFSET('Weblink(CNN)'!D11,Portfolio!$B$17,0)</f>
        <v>-1.1000000000000001E-3</v>
      </c>
      <c r="G13" s="17">
        <f t="shared" ca="1" si="0"/>
        <v>23396</v>
      </c>
      <c r="H13" s="3">
        <v>200</v>
      </c>
      <c r="I13" s="4">
        <v>56.3</v>
      </c>
      <c r="J13" s="17">
        <f t="shared" si="1"/>
        <v>11260</v>
      </c>
      <c r="K13" s="22">
        <f t="shared" ca="1" si="2"/>
        <v>12136</v>
      </c>
      <c r="L13" s="5">
        <f t="shared" ca="1" si="3"/>
        <v>1.0777975133214921</v>
      </c>
      <c r="M13" s="6">
        <f t="shared" ca="1" si="4"/>
        <v>3.5025210486604307E-2</v>
      </c>
    </row>
    <row r="14" spans="3:13" x14ac:dyDescent="0.25">
      <c r="C14" s="10" t="str">
        <f ca="1">OFFSET('Weblink(CNN)'!A12,Portfolio!$B$17,0)</f>
        <v>XOM Exxon Mobil Corp</v>
      </c>
      <c r="D14" s="16">
        <f ca="1">OFFSET('Weblink(CNN)'!B12,Portfolio!$B$17,0)</f>
        <v>72.08</v>
      </c>
      <c r="E14" s="4">
        <f ca="1">OFFSET('Weblink(CNN)'!C12,Portfolio!$B$17,0)</f>
        <v>-0.25</v>
      </c>
      <c r="F14" s="5">
        <f ca="1">OFFSET('Weblink(CNN)'!D12,Portfolio!$B$17,0)</f>
        <v>-3.5000000000000001E-3</v>
      </c>
      <c r="G14" s="17">
        <f t="shared" ca="1" si="0"/>
        <v>43248</v>
      </c>
      <c r="H14" s="3">
        <v>600</v>
      </c>
      <c r="I14" s="4">
        <v>62.3</v>
      </c>
      <c r="J14" s="17">
        <f t="shared" si="1"/>
        <v>37380</v>
      </c>
      <c r="K14" s="22">
        <f ca="1">$G14-$J14</f>
        <v>5868</v>
      </c>
      <c r="L14" s="5">
        <f t="shared" ca="1" si="3"/>
        <v>0.15698234349919743</v>
      </c>
      <c r="M14" s="6">
        <f t="shared" ca="1" si="4"/>
        <v>6.4744841132016714E-2</v>
      </c>
    </row>
    <row r="15" spans="3:13" ht="15.75" thickBot="1" x14ac:dyDescent="0.3">
      <c r="C15" s="11" t="s">
        <v>154</v>
      </c>
      <c r="D15" s="26">
        <f ca="1">SUM(D4:D14)</f>
        <v>3988.19</v>
      </c>
      <c r="E15" s="8"/>
      <c r="F15" s="8"/>
      <c r="G15" s="18">
        <f ca="1">SUM(G4,G5,G6,G7,G8,G9,G10,G11,G12,G13,G14)</f>
        <v>667976</v>
      </c>
      <c r="H15" s="7"/>
      <c r="I15" s="8"/>
      <c r="J15" s="18">
        <f>SUM(J4:J14)</f>
        <v>448928</v>
      </c>
      <c r="K15" s="23">
        <f t="shared" ref="K15" ca="1" si="5">$G15-$J15</f>
        <v>219048</v>
      </c>
      <c r="L15" s="24">
        <f t="shared" ref="L15" ca="1" si="6">$K15/$J15</f>
        <v>0.48793570461187541</v>
      </c>
      <c r="M15" s="25"/>
    </row>
    <row r="17" spans="1:2" x14ac:dyDescent="0.25">
      <c r="A17" t="s">
        <v>146</v>
      </c>
      <c r="B17">
        <f>MATCH("Stocks",'Weblink(CNN)'!A:A,)</f>
        <v>80</v>
      </c>
    </row>
  </sheetData>
  <mergeCells count="3">
    <mergeCell ref="D2:G2"/>
    <mergeCell ref="H2:J2"/>
    <mergeCell ref="K2:M2"/>
  </mergeCells>
  <conditionalFormatting sqref="M4:M14">
    <cfRule type="top10" dxfId="9" priority="1" rank="3"/>
    <cfRule type="top10" dxfId="8" priority="2" rank="3"/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{69EA2155-D1EA-4614-A6A2-3BC8C8410C87}</x14:id>
        </ext>
      </extLst>
    </cfRule>
  </conditionalFormatting>
  <conditionalFormatting sqref="K4:L15">
    <cfRule type="expression" dxfId="7" priority="7">
      <formula>$L4&lt;=-3%</formula>
    </cfRule>
    <cfRule type="expression" dxfId="6" priority="8">
      <formula>AND($L4&lt;0,$L4&gt;-3%)</formula>
    </cfRule>
    <cfRule type="expression" dxfId="5" priority="9">
      <formula>AND($L4&gt;0,$L4&lt;=3%)</formula>
    </cfRule>
    <cfRule type="expression" dxfId="4" priority="11">
      <formula>$L4&gt;3%</formula>
    </cfRule>
  </conditionalFormatting>
  <conditionalFormatting sqref="E4:F14">
    <cfRule type="expression" dxfId="3" priority="6">
      <formula>$F4&gt;0.1%</formula>
    </cfRule>
  </conditionalFormatting>
  <conditionalFormatting sqref="E4:F14">
    <cfRule type="expression" dxfId="2" priority="3">
      <formula>$F4&lt;=-0.1%</formula>
    </cfRule>
    <cfRule type="expression" dxfId="1" priority="4">
      <formula>AND($F4&lt;0,$F4&gt;-0.1%)</formula>
    </cfRule>
    <cfRule type="expression" dxfId="0" priority="5">
      <formula>AND($F4&gt;0,$F4&lt;=0.1%)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Data">
                <anchor moveWithCells="1" sizeWithCells="1">
                  <from>
                    <xdr:col>0</xdr:col>
                    <xdr:colOff>647700</xdr:colOff>
                    <xdr:row>5</xdr:row>
                    <xdr:rowOff>28575</xdr:rowOff>
                  </from>
                  <to>
                    <xdr:col>0</xdr:col>
                    <xdr:colOff>2190750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ore_Data">
                <anchor moveWithCells="1" sizeWithCells="1">
                  <from>
                    <xdr:col>0</xdr:col>
                    <xdr:colOff>723900</xdr:colOff>
                    <xdr:row>9</xdr:row>
                    <xdr:rowOff>28575</xdr:rowOff>
                  </from>
                  <to>
                    <xdr:col>0</xdr:col>
                    <xdr:colOff>2247900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EA2155-D1EA-4614-A6A2-3BC8C8410C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M4:M14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19"/>
  <sheetViews>
    <sheetView topLeftCell="A74" workbookViewId="0">
      <selection activeCell="A82" sqref="A82:A92"/>
    </sheetView>
  </sheetViews>
  <sheetFormatPr defaultRowHeight="15" x14ac:dyDescent="0.25"/>
  <cols>
    <col min="1" max="1" width="35.140625" bestFit="1" customWidth="1"/>
    <col min="2" max="2" width="8.140625" bestFit="1" customWidth="1"/>
    <col min="3" max="3" width="7.5703125" bestFit="1" customWidth="1"/>
    <col min="4" max="4" width="9.5703125" bestFit="1" customWidth="1"/>
    <col min="5" max="5" width="5" bestFit="1" customWidth="1"/>
    <col min="6" max="6" width="8" bestFit="1" customWidth="1"/>
    <col min="7" max="7" width="11" bestFit="1" customWidth="1"/>
  </cols>
  <sheetData>
    <row r="1" spans="1:1" x14ac:dyDescent="0.25">
      <c r="A1" t="s">
        <v>158</v>
      </c>
    </row>
    <row r="2" spans="1:1" x14ac:dyDescent="0.25">
      <c r="A2" t="s">
        <v>0</v>
      </c>
    </row>
    <row r="3" spans="1:1" x14ac:dyDescent="0.25">
      <c r="A3" t="s">
        <v>1</v>
      </c>
    </row>
    <row r="4" spans="1:1" x14ac:dyDescent="0.25">
      <c r="A4" t="s">
        <v>2</v>
      </c>
    </row>
    <row r="5" spans="1:1" x14ac:dyDescent="0.25">
      <c r="A5" t="s">
        <v>3</v>
      </c>
    </row>
    <row r="6" spans="1:1" x14ac:dyDescent="0.25">
      <c r="A6" t="s">
        <v>4</v>
      </c>
    </row>
    <row r="7" spans="1:1" x14ac:dyDescent="0.25">
      <c r="A7" t="s">
        <v>5</v>
      </c>
    </row>
    <row r="8" spans="1:1" x14ac:dyDescent="0.25">
      <c r="A8" t="s">
        <v>0</v>
      </c>
    </row>
    <row r="10" spans="1:1" x14ac:dyDescent="0.25">
      <c r="A10" t="s">
        <v>6</v>
      </c>
    </row>
    <row r="11" spans="1:1" x14ac:dyDescent="0.25">
      <c r="A11" t="s">
        <v>7</v>
      </c>
    </row>
    <row r="12" spans="1:1" x14ac:dyDescent="0.25">
      <c r="A12" t="s">
        <v>8</v>
      </c>
    </row>
    <row r="13" spans="1:1" x14ac:dyDescent="0.25">
      <c r="A13" t="s">
        <v>9</v>
      </c>
    </row>
    <row r="14" spans="1:1" x14ac:dyDescent="0.25">
      <c r="A14" t="s">
        <v>10</v>
      </c>
    </row>
    <row r="15" spans="1:1" x14ac:dyDescent="0.25">
      <c r="A15" t="s">
        <v>11</v>
      </c>
    </row>
    <row r="16" spans="1:1" x14ac:dyDescent="0.25">
      <c r="A16" t="s">
        <v>12</v>
      </c>
    </row>
    <row r="17" spans="1:1" x14ac:dyDescent="0.25">
      <c r="A17" t="s">
        <v>13</v>
      </c>
    </row>
    <row r="18" spans="1:1" x14ac:dyDescent="0.25">
      <c r="A18" t="s">
        <v>14</v>
      </c>
    </row>
    <row r="19" spans="1:1" x14ac:dyDescent="0.25">
      <c r="A19" t="s">
        <v>15</v>
      </c>
    </row>
    <row r="20" spans="1:1" x14ac:dyDescent="0.25">
      <c r="A20" t="s">
        <v>159</v>
      </c>
    </row>
    <row r="21" spans="1:1" x14ac:dyDescent="0.25">
      <c r="A21" t="s">
        <v>160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</v>
      </c>
    </row>
    <row r="26" spans="1:1" x14ac:dyDescent="0.25">
      <c r="A26" t="s">
        <v>18</v>
      </c>
    </row>
    <row r="27" spans="1:1" x14ac:dyDescent="0.25">
      <c r="A27" t="s">
        <v>19</v>
      </c>
    </row>
    <row r="28" spans="1:1" x14ac:dyDescent="0.25">
      <c r="A28" t="s">
        <v>20</v>
      </c>
    </row>
    <row r="29" spans="1:1" x14ac:dyDescent="0.25">
      <c r="A29" t="s">
        <v>21</v>
      </c>
    </row>
    <row r="30" spans="1:1" x14ac:dyDescent="0.25">
      <c r="A30" t="s">
        <v>161</v>
      </c>
    </row>
    <row r="31" spans="1:1" x14ac:dyDescent="0.25">
      <c r="A31" t="s">
        <v>162</v>
      </c>
    </row>
    <row r="32" spans="1:1" x14ac:dyDescent="0.25">
      <c r="A32" t="s">
        <v>22</v>
      </c>
    </row>
    <row r="33" spans="1:1" x14ac:dyDescent="0.25">
      <c r="A33" t="s">
        <v>163</v>
      </c>
    </row>
    <row r="34" spans="1:1" x14ac:dyDescent="0.25">
      <c r="A34" t="s">
        <v>2</v>
      </c>
    </row>
    <row r="36" spans="1:1" x14ac:dyDescent="0.25">
      <c r="A36" t="s">
        <v>23</v>
      </c>
    </row>
    <row r="37" spans="1:1" x14ac:dyDescent="0.25">
      <c r="A37" t="s">
        <v>3</v>
      </c>
    </row>
    <row r="39" spans="1:1" x14ac:dyDescent="0.25">
      <c r="A39" t="s">
        <v>24</v>
      </c>
    </row>
    <row r="40" spans="1:1" x14ac:dyDescent="0.25">
      <c r="A40" t="s">
        <v>25</v>
      </c>
    </row>
    <row r="41" spans="1:1" x14ac:dyDescent="0.25">
      <c r="A41" t="s">
        <v>26</v>
      </c>
    </row>
    <row r="42" spans="1:1" x14ac:dyDescent="0.25">
      <c r="A42" t="s">
        <v>27</v>
      </c>
    </row>
    <row r="43" spans="1:1" x14ac:dyDescent="0.25">
      <c r="A43" t="s">
        <v>164</v>
      </c>
    </row>
    <row r="44" spans="1:1" x14ac:dyDescent="0.25">
      <c r="A44" t="s">
        <v>28</v>
      </c>
    </row>
    <row r="45" spans="1:1" x14ac:dyDescent="0.25">
      <c r="A45" t="s">
        <v>29</v>
      </c>
    </row>
    <row r="47" spans="1:1" x14ac:dyDescent="0.25">
      <c r="A47" t="s">
        <v>4</v>
      </c>
    </row>
    <row r="49" spans="1:1" x14ac:dyDescent="0.25">
      <c r="A49" t="s">
        <v>5</v>
      </c>
    </row>
    <row r="51" spans="1:1" x14ac:dyDescent="0.25">
      <c r="A51" t="s">
        <v>30</v>
      </c>
    </row>
    <row r="53" spans="1:1" x14ac:dyDescent="0.25">
      <c r="A53" t="s">
        <v>31</v>
      </c>
    </row>
    <row r="54" spans="1:1" x14ac:dyDescent="0.25">
      <c r="A54" t="s">
        <v>32</v>
      </c>
    </row>
    <row r="55" spans="1:1" x14ac:dyDescent="0.25">
      <c r="A55" t="s">
        <v>165</v>
      </c>
    </row>
    <row r="56" spans="1:1" x14ac:dyDescent="0.25">
      <c r="A56" t="s">
        <v>33</v>
      </c>
    </row>
    <row r="57" spans="1:1" x14ac:dyDescent="0.25">
      <c r="A57" t="s">
        <v>34</v>
      </c>
    </row>
    <row r="58" spans="1:1" x14ac:dyDescent="0.25">
      <c r="A58" t="s">
        <v>35</v>
      </c>
    </row>
    <row r="60" spans="1:1" x14ac:dyDescent="0.25">
      <c r="A60" t="s">
        <v>36</v>
      </c>
    </row>
    <row r="61" spans="1:1" x14ac:dyDescent="0.25">
      <c r="A61" t="s">
        <v>37</v>
      </c>
    </row>
    <row r="62" spans="1:1" x14ac:dyDescent="0.25">
      <c r="A62" t="s">
        <v>38</v>
      </c>
    </row>
    <row r="63" spans="1:1" x14ac:dyDescent="0.25">
      <c r="A63" t="s">
        <v>39</v>
      </c>
    </row>
    <row r="64" spans="1:1" x14ac:dyDescent="0.25">
      <c r="A64" t="s">
        <v>40</v>
      </c>
    </row>
    <row r="65" spans="1:7" x14ac:dyDescent="0.25">
      <c r="A65" t="s">
        <v>41</v>
      </c>
    </row>
    <row r="66" spans="1:7" x14ac:dyDescent="0.25">
      <c r="A66" t="s">
        <v>42</v>
      </c>
    </row>
    <row r="67" spans="1:7" x14ac:dyDescent="0.25">
      <c r="A67" t="s">
        <v>43</v>
      </c>
    </row>
    <row r="68" spans="1:7" x14ac:dyDescent="0.25">
      <c r="A68" t="s">
        <v>44</v>
      </c>
    </row>
    <row r="69" spans="1:7" x14ac:dyDescent="0.25">
      <c r="A69" t="s">
        <v>45</v>
      </c>
    </row>
    <row r="70" spans="1:7" x14ac:dyDescent="0.25">
      <c r="A70" t="s">
        <v>1</v>
      </c>
    </row>
    <row r="71" spans="1:7" x14ac:dyDescent="0.25">
      <c r="A71" t="s">
        <v>46</v>
      </c>
    </row>
    <row r="72" spans="1:7" x14ac:dyDescent="0.25">
      <c r="A72" t="s">
        <v>47</v>
      </c>
    </row>
    <row r="73" spans="1:7" x14ac:dyDescent="0.25">
      <c r="A73" t="s">
        <v>48</v>
      </c>
    </row>
    <row r="74" spans="1:7" x14ac:dyDescent="0.25">
      <c r="A74" t="s">
        <v>5</v>
      </c>
    </row>
    <row r="75" spans="1:7" x14ac:dyDescent="0.25">
      <c r="A75" t="s">
        <v>49</v>
      </c>
    </row>
    <row r="76" spans="1:7" x14ac:dyDescent="0.25">
      <c r="A76" t="s">
        <v>50</v>
      </c>
      <c r="B76" s="1"/>
      <c r="D76" s="2"/>
      <c r="G76" s="2"/>
    </row>
    <row r="77" spans="1:7" x14ac:dyDescent="0.25">
      <c r="A77" t="s">
        <v>51</v>
      </c>
      <c r="D77" s="2"/>
      <c r="G77" s="2"/>
    </row>
    <row r="78" spans="1:7" x14ac:dyDescent="0.25">
      <c r="A78" t="s">
        <v>52</v>
      </c>
      <c r="B78" s="1"/>
      <c r="D78" s="2"/>
      <c r="G78" s="2"/>
    </row>
    <row r="79" spans="1:7" x14ac:dyDescent="0.25">
      <c r="A79" t="s">
        <v>53</v>
      </c>
      <c r="D79" s="2"/>
      <c r="G79" s="2"/>
    </row>
    <row r="80" spans="1:7" x14ac:dyDescent="0.25">
      <c r="A80" t="s">
        <v>54</v>
      </c>
      <c r="D80" s="2"/>
      <c r="G80" s="2"/>
    </row>
    <row r="81" spans="1:7" x14ac:dyDescent="0.25">
      <c r="A81" t="s">
        <v>55</v>
      </c>
      <c r="B81" t="s">
        <v>56</v>
      </c>
      <c r="C81" t="s">
        <v>57</v>
      </c>
      <c r="D81" s="2" t="s">
        <v>58</v>
      </c>
      <c r="E81" t="s">
        <v>59</v>
      </c>
      <c r="F81" t="s">
        <v>60</v>
      </c>
      <c r="G81" s="2" t="s">
        <v>61</v>
      </c>
    </row>
    <row r="82" spans="1:7" x14ac:dyDescent="0.25">
      <c r="A82" t="s">
        <v>62</v>
      </c>
      <c r="B82" s="1">
        <v>1794.16</v>
      </c>
      <c r="C82">
        <v>-27.34</v>
      </c>
      <c r="D82" s="2">
        <v>-1.4999999999999999E-2</v>
      </c>
      <c r="E82">
        <v>74.400000000000006</v>
      </c>
      <c r="F82" t="s">
        <v>185</v>
      </c>
      <c r="G82" s="2">
        <v>0.19450000000000001</v>
      </c>
    </row>
    <row r="83" spans="1:7" x14ac:dyDescent="0.25">
      <c r="A83" t="s">
        <v>63</v>
      </c>
      <c r="B83">
        <v>29.59</v>
      </c>
      <c r="C83">
        <v>-0.23</v>
      </c>
      <c r="D83" s="2">
        <v>-7.7000000000000002E-3</v>
      </c>
      <c r="E83">
        <v>10.5</v>
      </c>
      <c r="F83" t="s">
        <v>186</v>
      </c>
      <c r="G83" s="2">
        <v>0.2009</v>
      </c>
    </row>
    <row r="84" spans="1:7" x14ac:dyDescent="0.25">
      <c r="A84" t="s">
        <v>173</v>
      </c>
      <c r="B84" s="1">
        <v>189.93</v>
      </c>
      <c r="C84">
        <v>-0.21</v>
      </c>
      <c r="D84" s="2">
        <v>-1.1000000000000001E-3</v>
      </c>
      <c r="E84">
        <v>32.200000000000003</v>
      </c>
      <c r="F84" t="s">
        <v>187</v>
      </c>
      <c r="G84" s="2">
        <v>0.44890000000000002</v>
      </c>
    </row>
    <row r="85" spans="1:7" x14ac:dyDescent="0.25">
      <c r="A85" t="s">
        <v>64</v>
      </c>
      <c r="B85" s="1">
        <v>1229.93</v>
      </c>
      <c r="C85">
        <v>-8.7799999999999994</v>
      </c>
      <c r="D85" s="2">
        <v>-7.1000000000000004E-3</v>
      </c>
      <c r="E85">
        <v>24.8</v>
      </c>
      <c r="F85" t="s">
        <v>188</v>
      </c>
      <c r="G85" s="2">
        <v>0.18759999999999999</v>
      </c>
    </row>
    <row r="86" spans="1:7" x14ac:dyDescent="0.25">
      <c r="A86" t="s">
        <v>65</v>
      </c>
      <c r="B86">
        <v>141.88</v>
      </c>
      <c r="C86">
        <v>-1.0900000000000001</v>
      </c>
      <c r="D86" s="2">
        <v>-7.6E-3</v>
      </c>
      <c r="E86">
        <v>14.7</v>
      </c>
      <c r="F86" t="s">
        <v>189</v>
      </c>
      <c r="G86" s="2">
        <v>0.2482</v>
      </c>
    </row>
    <row r="87" spans="1:7" x14ac:dyDescent="0.25">
      <c r="A87" t="s">
        <v>66</v>
      </c>
      <c r="B87">
        <v>85.16</v>
      </c>
      <c r="C87">
        <v>1.19</v>
      </c>
      <c r="D87" s="2">
        <v>1.4200000000000001E-2</v>
      </c>
      <c r="E87">
        <v>23.9</v>
      </c>
      <c r="F87" t="s">
        <v>190</v>
      </c>
      <c r="G87" s="2">
        <v>0.1145</v>
      </c>
    </row>
    <row r="88" spans="1:7" x14ac:dyDescent="0.25">
      <c r="A88" t="s">
        <v>67</v>
      </c>
      <c r="B88">
        <v>139.44</v>
      </c>
      <c r="C88">
        <v>-1.63</v>
      </c>
      <c r="D88" s="2">
        <v>-1.1599999999999999E-2</v>
      </c>
      <c r="E88">
        <v>27.6</v>
      </c>
      <c r="F88" t="s">
        <v>191</v>
      </c>
      <c r="G88" s="2">
        <v>0.37280000000000002</v>
      </c>
    </row>
    <row r="89" spans="1:7" x14ac:dyDescent="0.25">
      <c r="A89" t="s">
        <v>68</v>
      </c>
      <c r="B89">
        <v>53.47</v>
      </c>
      <c r="C89">
        <v>0.1</v>
      </c>
      <c r="D89" s="2">
        <v>1.9E-3</v>
      </c>
      <c r="E89">
        <v>17.600000000000001</v>
      </c>
      <c r="F89" t="s">
        <v>192</v>
      </c>
      <c r="G89" s="2">
        <v>0.18429999999999999</v>
      </c>
    </row>
    <row r="90" spans="1:7" x14ac:dyDescent="0.25">
      <c r="A90" t="s">
        <v>69</v>
      </c>
      <c r="B90">
        <v>135.57</v>
      </c>
      <c r="C90">
        <v>-1.96</v>
      </c>
      <c r="D90" s="2">
        <v>-1.43E-2</v>
      </c>
      <c r="E90">
        <v>22.3</v>
      </c>
      <c r="F90" t="s">
        <v>193</v>
      </c>
      <c r="G90" s="2">
        <v>0.2732</v>
      </c>
    </row>
    <row r="91" spans="1:7" x14ac:dyDescent="0.25">
      <c r="A91" t="s">
        <v>70</v>
      </c>
      <c r="B91">
        <v>116.98</v>
      </c>
      <c r="C91">
        <v>-0.13</v>
      </c>
      <c r="D91" s="2">
        <v>-1.1000000000000001E-3</v>
      </c>
      <c r="E91">
        <v>26.5</v>
      </c>
      <c r="F91" t="s">
        <v>194</v>
      </c>
      <c r="G91" s="2">
        <v>0.25580000000000003</v>
      </c>
    </row>
    <row r="92" spans="1:7" x14ac:dyDescent="0.25">
      <c r="A92" t="s">
        <v>71</v>
      </c>
      <c r="B92">
        <v>72.08</v>
      </c>
      <c r="C92">
        <v>-0.25</v>
      </c>
      <c r="D92" s="2">
        <v>-3.5000000000000001E-3</v>
      </c>
      <c r="E92">
        <v>17.399999999999999</v>
      </c>
      <c r="F92" t="s">
        <v>195</v>
      </c>
      <c r="G92" s="2">
        <v>5.7000000000000002E-2</v>
      </c>
    </row>
    <row r="93" spans="1:7" x14ac:dyDescent="0.25">
      <c r="A93" t="s">
        <v>196</v>
      </c>
    </row>
    <row r="95" spans="1:7" x14ac:dyDescent="0.25">
      <c r="A95" t="s">
        <v>72</v>
      </c>
    </row>
    <row r="96" spans="1:7" x14ac:dyDescent="0.25">
      <c r="A96" t="s">
        <v>73</v>
      </c>
    </row>
    <row r="97" spans="1:1" x14ac:dyDescent="0.25">
      <c r="A97" t="s">
        <v>74</v>
      </c>
    </row>
    <row r="98" spans="1:1" x14ac:dyDescent="0.25">
      <c r="A98" t="s">
        <v>73</v>
      </c>
    </row>
    <row r="99" spans="1:1" x14ac:dyDescent="0.25">
      <c r="A99" t="s">
        <v>166</v>
      </c>
    </row>
    <row r="100" spans="1:1" x14ac:dyDescent="0.25">
      <c r="A100" t="s">
        <v>167</v>
      </c>
    </row>
    <row r="101" spans="1:1" x14ac:dyDescent="0.25">
      <c r="A101" t="s">
        <v>168</v>
      </c>
    </row>
    <row r="102" spans="1:1" x14ac:dyDescent="0.25">
      <c r="A102" t="s">
        <v>169</v>
      </c>
    </row>
    <row r="104" spans="1:1" x14ac:dyDescent="0.25">
      <c r="A104" t="s">
        <v>75</v>
      </c>
    </row>
    <row r="105" spans="1:1" x14ac:dyDescent="0.25">
      <c r="A105" t="s">
        <v>73</v>
      </c>
    </row>
    <row r="106" spans="1:1" x14ac:dyDescent="0.25">
      <c r="A106" t="s">
        <v>76</v>
      </c>
    </row>
    <row r="107" spans="1:1" x14ac:dyDescent="0.25">
      <c r="A107" t="s">
        <v>77</v>
      </c>
    </row>
    <row r="108" spans="1:1" x14ac:dyDescent="0.25">
      <c r="A108" t="s">
        <v>78</v>
      </c>
    </row>
    <row r="109" spans="1:1" x14ac:dyDescent="0.25">
      <c r="A109" t="s">
        <v>79</v>
      </c>
    </row>
    <row r="110" spans="1:1" x14ac:dyDescent="0.25">
      <c r="A110" t="s">
        <v>80</v>
      </c>
    </row>
    <row r="112" spans="1:1" x14ac:dyDescent="0.25">
      <c r="A112" t="s">
        <v>81</v>
      </c>
    </row>
    <row r="113" spans="1:1" x14ac:dyDescent="0.25">
      <c r="A113" t="s">
        <v>82</v>
      </c>
    </row>
    <row r="114" spans="1:1" x14ac:dyDescent="0.25">
      <c r="A114" t="s">
        <v>83</v>
      </c>
    </row>
    <row r="115" spans="1:1" x14ac:dyDescent="0.25">
      <c r="A115" t="s">
        <v>84</v>
      </c>
    </row>
    <row r="116" spans="1:1" x14ac:dyDescent="0.25">
      <c r="A116" t="s">
        <v>40</v>
      </c>
    </row>
    <row r="118" spans="1:1" x14ac:dyDescent="0.25">
      <c r="A118" t="s">
        <v>85</v>
      </c>
    </row>
    <row r="119" spans="1:1" x14ac:dyDescent="0.25">
      <c r="A119" t="s">
        <v>86</v>
      </c>
    </row>
    <row r="120" spans="1:1" x14ac:dyDescent="0.25">
      <c r="A120" t="s">
        <v>87</v>
      </c>
    </row>
    <row r="121" spans="1:1" x14ac:dyDescent="0.25">
      <c r="A121" t="s">
        <v>88</v>
      </c>
    </row>
    <row r="122" spans="1:1" x14ac:dyDescent="0.25">
      <c r="A122" t="s">
        <v>89</v>
      </c>
    </row>
    <row r="123" spans="1:1" x14ac:dyDescent="0.25">
      <c r="A123" t="s">
        <v>90</v>
      </c>
    </row>
    <row r="124" spans="1:1" x14ac:dyDescent="0.25">
      <c r="A124" t="s">
        <v>91</v>
      </c>
    </row>
    <row r="125" spans="1:1" x14ac:dyDescent="0.25">
      <c r="A125" t="s">
        <v>41</v>
      </c>
    </row>
    <row r="127" spans="1:1" x14ac:dyDescent="0.25">
      <c r="A127">
        <v>45</v>
      </c>
    </row>
    <row r="128" spans="1:1" x14ac:dyDescent="0.25">
      <c r="A128" t="s">
        <v>92</v>
      </c>
    </row>
    <row r="129" spans="1:1" x14ac:dyDescent="0.25">
      <c r="A129" t="s">
        <v>93</v>
      </c>
    </row>
    <row r="130" spans="1:1" x14ac:dyDescent="0.25">
      <c r="A130">
        <v>2018</v>
      </c>
    </row>
    <row r="131" spans="1:1" x14ac:dyDescent="0.25">
      <c r="A131" t="s">
        <v>94</v>
      </c>
    </row>
    <row r="132" spans="1:1" x14ac:dyDescent="0.25">
      <c r="A132" t="s">
        <v>95</v>
      </c>
    </row>
    <row r="133" spans="1:1" x14ac:dyDescent="0.25">
      <c r="A133" t="s">
        <v>42</v>
      </c>
    </row>
    <row r="135" spans="1:1" x14ac:dyDescent="0.25">
      <c r="A135" t="s">
        <v>0</v>
      </c>
    </row>
    <row r="136" spans="1:1" x14ac:dyDescent="0.25">
      <c r="A136" t="s">
        <v>1</v>
      </c>
    </row>
    <row r="137" spans="1:1" x14ac:dyDescent="0.25">
      <c r="A137" t="s">
        <v>2</v>
      </c>
    </row>
    <row r="138" spans="1:1" x14ac:dyDescent="0.25">
      <c r="A138" t="s">
        <v>3</v>
      </c>
    </row>
    <row r="139" spans="1:1" x14ac:dyDescent="0.25">
      <c r="A139" t="s">
        <v>5</v>
      </c>
    </row>
    <row r="140" spans="1:1" x14ac:dyDescent="0.25">
      <c r="A140" t="s">
        <v>43</v>
      </c>
    </row>
    <row r="142" spans="1:1" x14ac:dyDescent="0.25">
      <c r="A142" t="s">
        <v>96</v>
      </c>
    </row>
    <row r="143" spans="1:1" x14ac:dyDescent="0.25">
      <c r="A143" t="s">
        <v>97</v>
      </c>
    </row>
    <row r="144" spans="1:1" x14ac:dyDescent="0.25">
      <c r="A144" t="s">
        <v>44</v>
      </c>
    </row>
    <row r="146" spans="1:1" x14ac:dyDescent="0.25">
      <c r="A146" t="s">
        <v>98</v>
      </c>
    </row>
    <row r="147" spans="1:1" x14ac:dyDescent="0.25">
      <c r="A147" t="s">
        <v>99</v>
      </c>
    </row>
    <row r="148" spans="1:1" x14ac:dyDescent="0.25">
      <c r="A148" t="s">
        <v>100</v>
      </c>
    </row>
    <row r="149" spans="1:1" x14ac:dyDescent="0.25">
      <c r="A149" t="s">
        <v>101</v>
      </c>
    </row>
    <row r="150" spans="1:1" x14ac:dyDescent="0.25">
      <c r="A150" t="s">
        <v>102</v>
      </c>
    </row>
    <row r="151" spans="1:1" x14ac:dyDescent="0.25">
      <c r="A151" t="s">
        <v>45</v>
      </c>
    </row>
    <row r="153" spans="1:1" x14ac:dyDescent="0.25">
      <c r="A153" t="s">
        <v>103</v>
      </c>
    </row>
    <row r="154" spans="1:1" x14ac:dyDescent="0.25">
      <c r="A154" t="s">
        <v>104</v>
      </c>
    </row>
    <row r="155" spans="1:1" x14ac:dyDescent="0.25">
      <c r="A155" t="s">
        <v>105</v>
      </c>
    </row>
    <row r="156" spans="1:1" x14ac:dyDescent="0.25">
      <c r="A156" t="s">
        <v>106</v>
      </c>
    </row>
    <row r="157" spans="1:1" x14ac:dyDescent="0.25">
      <c r="A157" t="s">
        <v>2</v>
      </c>
    </row>
    <row r="158" spans="1:1" x14ac:dyDescent="0.25">
      <c r="A158" t="s">
        <v>1</v>
      </c>
    </row>
    <row r="160" spans="1:1" x14ac:dyDescent="0.25">
      <c r="A160" t="s">
        <v>18</v>
      </c>
    </row>
    <row r="161" spans="1:1" x14ac:dyDescent="0.25">
      <c r="A161" t="s">
        <v>19</v>
      </c>
    </row>
    <row r="162" spans="1:1" x14ac:dyDescent="0.25">
      <c r="A162" t="s">
        <v>20</v>
      </c>
    </row>
    <row r="163" spans="1:1" x14ac:dyDescent="0.25">
      <c r="A163" t="s">
        <v>21</v>
      </c>
    </row>
    <row r="164" spans="1:1" x14ac:dyDescent="0.25">
      <c r="A164" t="s">
        <v>22</v>
      </c>
    </row>
    <row r="165" spans="1:1" x14ac:dyDescent="0.25">
      <c r="A165" t="s">
        <v>46</v>
      </c>
    </row>
    <row r="167" spans="1:1" x14ac:dyDescent="0.25">
      <c r="A167" t="s">
        <v>107</v>
      </c>
    </row>
    <row r="168" spans="1:1" x14ac:dyDescent="0.25">
      <c r="A168" t="s">
        <v>108</v>
      </c>
    </row>
    <row r="169" spans="1:1" x14ac:dyDescent="0.25">
      <c r="A169" t="s">
        <v>109</v>
      </c>
    </row>
    <row r="170" spans="1:1" x14ac:dyDescent="0.25">
      <c r="A170" t="s">
        <v>110</v>
      </c>
    </row>
    <row r="171" spans="1:1" x14ac:dyDescent="0.25">
      <c r="A171" t="s">
        <v>111</v>
      </c>
    </row>
    <row r="172" spans="1:1" x14ac:dyDescent="0.25">
      <c r="A172" t="s">
        <v>112</v>
      </c>
    </row>
    <row r="173" spans="1:1" x14ac:dyDescent="0.25">
      <c r="A173" t="s">
        <v>5</v>
      </c>
    </row>
    <row r="174" spans="1:1" x14ac:dyDescent="0.25">
      <c r="A174" t="s">
        <v>47</v>
      </c>
    </row>
    <row r="176" spans="1:1" x14ac:dyDescent="0.25">
      <c r="A176" t="s">
        <v>113</v>
      </c>
    </row>
    <row r="177" spans="1:1" x14ac:dyDescent="0.25">
      <c r="A177" t="s">
        <v>114</v>
      </c>
    </row>
    <row r="178" spans="1:1" x14ac:dyDescent="0.25">
      <c r="A178" t="s">
        <v>115</v>
      </c>
    </row>
    <row r="179" spans="1:1" x14ac:dyDescent="0.25">
      <c r="A179" t="s">
        <v>116</v>
      </c>
    </row>
    <row r="180" spans="1:1" x14ac:dyDescent="0.25">
      <c r="A180" t="s">
        <v>117</v>
      </c>
    </row>
    <row r="181" spans="1:1" x14ac:dyDescent="0.25">
      <c r="A181" t="s">
        <v>48</v>
      </c>
    </row>
    <row r="183" spans="1:1" x14ac:dyDescent="0.25">
      <c r="A183" t="s">
        <v>118</v>
      </c>
    </row>
    <row r="184" spans="1:1" x14ac:dyDescent="0.25">
      <c r="A184" t="s">
        <v>119</v>
      </c>
    </row>
    <row r="185" spans="1:1" x14ac:dyDescent="0.25">
      <c r="A185" t="s">
        <v>120</v>
      </c>
    </row>
    <row r="186" spans="1:1" x14ac:dyDescent="0.25">
      <c r="A186" t="s">
        <v>121</v>
      </c>
    </row>
    <row r="187" spans="1:1" x14ac:dyDescent="0.25">
      <c r="A187" t="s">
        <v>122</v>
      </c>
    </row>
    <row r="188" spans="1:1" x14ac:dyDescent="0.25">
      <c r="A188" t="s">
        <v>123</v>
      </c>
    </row>
    <row r="189" spans="1:1" x14ac:dyDescent="0.25">
      <c r="A189" t="s">
        <v>5</v>
      </c>
    </row>
    <row r="191" spans="1:1" x14ac:dyDescent="0.25">
      <c r="A191" t="s">
        <v>124</v>
      </c>
    </row>
    <row r="192" spans="1:1" x14ac:dyDescent="0.25">
      <c r="A192" t="s">
        <v>125</v>
      </c>
    </row>
    <row r="193" spans="1:1" x14ac:dyDescent="0.25">
      <c r="A193" t="s">
        <v>126</v>
      </c>
    </row>
    <row r="194" spans="1:1" x14ac:dyDescent="0.25">
      <c r="A194" t="s">
        <v>127</v>
      </c>
    </row>
    <row r="195" spans="1:1" x14ac:dyDescent="0.25">
      <c r="A195" t="s">
        <v>128</v>
      </c>
    </row>
    <row r="196" spans="1:1" x14ac:dyDescent="0.25">
      <c r="A196" t="s">
        <v>129</v>
      </c>
    </row>
    <row r="197" spans="1:1" x14ac:dyDescent="0.25">
      <c r="A197" t="s">
        <v>130</v>
      </c>
    </row>
    <row r="198" spans="1:1" x14ac:dyDescent="0.25">
      <c r="A198" t="s">
        <v>49</v>
      </c>
    </row>
    <row r="200" spans="1:1" x14ac:dyDescent="0.25">
      <c r="A200" t="s">
        <v>131</v>
      </c>
    </row>
    <row r="201" spans="1:1" x14ac:dyDescent="0.25">
      <c r="A201" t="s">
        <v>132</v>
      </c>
    </row>
    <row r="202" spans="1:1" x14ac:dyDescent="0.25">
      <c r="A202" t="s">
        <v>133</v>
      </c>
    </row>
    <row r="203" spans="1:1" x14ac:dyDescent="0.25">
      <c r="A203" t="s">
        <v>134</v>
      </c>
    </row>
    <row r="204" spans="1:1" x14ac:dyDescent="0.25">
      <c r="A204" t="s">
        <v>135</v>
      </c>
    </row>
    <row r="205" spans="1:1" x14ac:dyDescent="0.25">
      <c r="A205" t="s">
        <v>136</v>
      </c>
    </row>
    <row r="206" spans="1:1" x14ac:dyDescent="0.25">
      <c r="A206" t="s">
        <v>51</v>
      </c>
    </row>
    <row r="208" spans="1:1" x14ac:dyDescent="0.25">
      <c r="A208" t="s">
        <v>137</v>
      </c>
    </row>
    <row r="209" spans="1:1" x14ac:dyDescent="0.25">
      <c r="A209" t="s">
        <v>138</v>
      </c>
    </row>
    <row r="210" spans="1:1" x14ac:dyDescent="0.25">
      <c r="A210" t="s">
        <v>139</v>
      </c>
    </row>
    <row r="211" spans="1:1" x14ac:dyDescent="0.25">
      <c r="A211" t="s">
        <v>140</v>
      </c>
    </row>
    <row r="212" spans="1:1" x14ac:dyDescent="0.25">
      <c r="A212" t="s">
        <v>141</v>
      </c>
    </row>
    <row r="213" spans="1:1" x14ac:dyDescent="0.25">
      <c r="A213" t="s">
        <v>142</v>
      </c>
    </row>
    <row r="214" spans="1:1" x14ac:dyDescent="0.25">
      <c r="A214" t="s">
        <v>143</v>
      </c>
    </row>
    <row r="215" spans="1:1" x14ac:dyDescent="0.25">
      <c r="A215" t="s">
        <v>170</v>
      </c>
    </row>
    <row r="216" spans="1:1" x14ac:dyDescent="0.25">
      <c r="A216" t="s">
        <v>171</v>
      </c>
    </row>
    <row r="217" spans="1:1" x14ac:dyDescent="0.25">
      <c r="A217" t="s">
        <v>144</v>
      </c>
    </row>
    <row r="218" spans="1:1" x14ac:dyDescent="0.25">
      <c r="A218" t="s">
        <v>172</v>
      </c>
    </row>
    <row r="219" spans="1:1" x14ac:dyDescent="0.25">
      <c r="A219" t="s">
        <v>145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7AC20-FC7C-445E-A701-CC20CC396B9C}">
  <sheetPr codeName="Sheet3"/>
  <dimension ref="A1:L55"/>
  <sheetViews>
    <sheetView tabSelected="1" workbookViewId="0">
      <selection activeCell="M6" sqref="M6"/>
    </sheetView>
  </sheetViews>
  <sheetFormatPr defaultRowHeight="15" x14ac:dyDescent="0.25"/>
  <sheetData>
    <row r="1" spans="1:12" ht="15.75" x14ac:dyDescent="0.25">
      <c r="A1" s="27" t="s">
        <v>174</v>
      </c>
      <c r="B1" s="27" t="s">
        <v>175</v>
      </c>
      <c r="C1" s="27" t="s">
        <v>176</v>
      </c>
      <c r="D1" s="27" t="s">
        <v>177</v>
      </c>
      <c r="E1" s="27" t="s">
        <v>178</v>
      </c>
      <c r="F1" s="27" t="s">
        <v>179</v>
      </c>
      <c r="G1" s="27" t="s">
        <v>180</v>
      </c>
      <c r="H1" s="27" t="s">
        <v>181</v>
      </c>
      <c r="I1" s="27" t="s">
        <v>182</v>
      </c>
      <c r="J1" s="27" t="s">
        <v>183</v>
      </c>
      <c r="K1" s="27" t="s">
        <v>184</v>
      </c>
      <c r="L1" s="27" t="s">
        <v>154</v>
      </c>
    </row>
    <row r="2" spans="1:12" x14ac:dyDescent="0.25">
      <c r="A2">
        <v>1794.16</v>
      </c>
      <c r="B2">
        <v>29.59</v>
      </c>
      <c r="C2">
        <v>189.93</v>
      </c>
      <c r="D2">
        <v>1229.93</v>
      </c>
      <c r="E2">
        <v>141.88</v>
      </c>
      <c r="F2">
        <v>85.16</v>
      </c>
      <c r="G2">
        <v>139.44</v>
      </c>
      <c r="H2">
        <v>53.47</v>
      </c>
      <c r="I2">
        <v>135.57</v>
      </c>
      <c r="J2">
        <v>116.98</v>
      </c>
      <c r="K2">
        <v>72.08</v>
      </c>
      <c r="L2">
        <v>3988.19</v>
      </c>
    </row>
    <row r="3" spans="1:12" x14ac:dyDescent="0.25">
      <c r="A3">
        <v>1794.16</v>
      </c>
      <c r="B3">
        <v>29.59</v>
      </c>
      <c r="C3">
        <v>189.93</v>
      </c>
      <c r="D3">
        <v>1229.93</v>
      </c>
      <c r="E3">
        <v>141.88</v>
      </c>
      <c r="F3">
        <v>85.16</v>
      </c>
      <c r="G3">
        <v>139.44</v>
      </c>
      <c r="H3">
        <v>53.47</v>
      </c>
      <c r="I3">
        <v>135.57</v>
      </c>
      <c r="J3">
        <v>116.98</v>
      </c>
      <c r="K3">
        <v>72.08</v>
      </c>
      <c r="L3">
        <v>3988.19</v>
      </c>
    </row>
    <row r="4" spans="1:12" x14ac:dyDescent="0.25">
      <c r="A4">
        <v>1794.16</v>
      </c>
      <c r="B4">
        <v>29.59</v>
      </c>
      <c r="C4">
        <v>189.93</v>
      </c>
      <c r="D4">
        <v>1229.93</v>
      </c>
      <c r="E4">
        <v>141.88</v>
      </c>
      <c r="F4">
        <v>85.16</v>
      </c>
      <c r="G4">
        <v>139.44</v>
      </c>
      <c r="H4">
        <v>53.47</v>
      </c>
      <c r="I4">
        <v>135.57</v>
      </c>
      <c r="J4">
        <v>116.98</v>
      </c>
      <c r="K4">
        <v>72.08</v>
      </c>
      <c r="L4">
        <v>3988.19</v>
      </c>
    </row>
    <row r="5" spans="1:12" x14ac:dyDescent="0.25">
      <c r="A5">
        <v>1794.16</v>
      </c>
      <c r="B5">
        <v>29.59</v>
      </c>
      <c r="C5">
        <v>189.93</v>
      </c>
      <c r="D5">
        <v>1229.93</v>
      </c>
      <c r="E5">
        <v>141.88</v>
      </c>
      <c r="F5">
        <v>85.16</v>
      </c>
      <c r="G5">
        <v>139.44</v>
      </c>
      <c r="H5">
        <v>53.47</v>
      </c>
      <c r="I5">
        <v>135.57</v>
      </c>
      <c r="J5">
        <v>116.98</v>
      </c>
      <c r="K5">
        <v>72.08</v>
      </c>
      <c r="L5">
        <v>3988.19</v>
      </c>
    </row>
    <row r="6" spans="1:12" x14ac:dyDescent="0.25">
      <c r="A6">
        <v>1794.16</v>
      </c>
      <c r="B6">
        <v>29.59</v>
      </c>
      <c r="C6">
        <v>189.93</v>
      </c>
      <c r="D6">
        <v>1229.93</v>
      </c>
      <c r="E6">
        <v>141.88</v>
      </c>
      <c r="F6">
        <v>85.16</v>
      </c>
      <c r="G6">
        <v>139.44</v>
      </c>
      <c r="H6">
        <v>53.47</v>
      </c>
      <c r="I6">
        <v>135.57</v>
      </c>
      <c r="J6">
        <v>116.98</v>
      </c>
      <c r="K6">
        <v>72.08</v>
      </c>
      <c r="L6">
        <v>3988.19</v>
      </c>
    </row>
    <row r="7" spans="1:12" x14ac:dyDescent="0.25">
      <c r="A7">
        <v>1794.16</v>
      </c>
      <c r="B7">
        <v>29.59</v>
      </c>
      <c r="C7">
        <v>189.93</v>
      </c>
      <c r="D7">
        <v>1229.93</v>
      </c>
      <c r="E7">
        <v>141.88</v>
      </c>
      <c r="F7">
        <v>85.16</v>
      </c>
      <c r="G7">
        <v>139.44</v>
      </c>
      <c r="H7">
        <v>53.47</v>
      </c>
      <c r="I7">
        <v>135.57</v>
      </c>
      <c r="J7">
        <v>116.98</v>
      </c>
      <c r="K7">
        <v>72.08</v>
      </c>
      <c r="L7">
        <v>3988.19</v>
      </c>
    </row>
    <row r="8" spans="1:12" x14ac:dyDescent="0.25">
      <c r="A8">
        <v>1794.16</v>
      </c>
      <c r="B8">
        <v>29.59</v>
      </c>
      <c r="C8">
        <v>189.93</v>
      </c>
      <c r="D8">
        <v>1229.93</v>
      </c>
      <c r="E8">
        <v>141.88</v>
      </c>
      <c r="F8">
        <v>85.16</v>
      </c>
      <c r="G8">
        <v>139.44</v>
      </c>
      <c r="H8">
        <v>53.47</v>
      </c>
      <c r="I8">
        <v>135.57</v>
      </c>
      <c r="J8">
        <v>116.98</v>
      </c>
      <c r="K8">
        <v>72.08</v>
      </c>
      <c r="L8">
        <v>3988.19</v>
      </c>
    </row>
    <row r="9" spans="1:12" x14ac:dyDescent="0.25">
      <c r="A9">
        <v>1794.16</v>
      </c>
      <c r="B9">
        <v>29.59</v>
      </c>
      <c r="C9">
        <v>189.93</v>
      </c>
      <c r="D9">
        <v>1229.93</v>
      </c>
      <c r="E9">
        <v>141.88</v>
      </c>
      <c r="F9">
        <v>85.16</v>
      </c>
      <c r="G9">
        <v>139.44</v>
      </c>
      <c r="H9">
        <v>53.47</v>
      </c>
      <c r="I9">
        <v>135.57</v>
      </c>
      <c r="J9">
        <v>116.98</v>
      </c>
      <c r="K9">
        <v>72.08</v>
      </c>
      <c r="L9">
        <v>3988.19</v>
      </c>
    </row>
    <row r="10" spans="1:12" x14ac:dyDescent="0.25">
      <c r="A10">
        <v>1794.16</v>
      </c>
      <c r="B10">
        <v>29.59</v>
      </c>
      <c r="C10">
        <v>189.93</v>
      </c>
      <c r="D10">
        <v>1229.93</v>
      </c>
      <c r="E10">
        <v>141.88</v>
      </c>
      <c r="F10">
        <v>85.16</v>
      </c>
      <c r="G10">
        <v>139.44</v>
      </c>
      <c r="H10">
        <v>53.47</v>
      </c>
      <c r="I10">
        <v>135.57</v>
      </c>
      <c r="J10">
        <v>116.98</v>
      </c>
      <c r="K10">
        <v>72.08</v>
      </c>
      <c r="L10">
        <v>3988.19</v>
      </c>
    </row>
    <row r="11" spans="1:12" x14ac:dyDescent="0.25">
      <c r="A11">
        <v>1794.16</v>
      </c>
      <c r="B11">
        <v>29.59</v>
      </c>
      <c r="C11">
        <v>189.93</v>
      </c>
      <c r="D11">
        <v>1229.93</v>
      </c>
      <c r="E11">
        <v>141.88</v>
      </c>
      <c r="F11">
        <v>85.16</v>
      </c>
      <c r="G11">
        <v>139.44</v>
      </c>
      <c r="H11">
        <v>53.47</v>
      </c>
      <c r="I11">
        <v>135.57</v>
      </c>
      <c r="J11">
        <v>116.98</v>
      </c>
      <c r="K11">
        <v>72.08</v>
      </c>
      <c r="L11">
        <v>3988.19</v>
      </c>
    </row>
    <row r="12" spans="1:12" x14ac:dyDescent="0.25">
      <c r="A12">
        <v>1794.16</v>
      </c>
      <c r="B12">
        <v>29.59</v>
      </c>
      <c r="C12">
        <v>189.93</v>
      </c>
      <c r="D12">
        <v>1229.93</v>
      </c>
      <c r="E12">
        <v>141.88</v>
      </c>
      <c r="F12">
        <v>85.16</v>
      </c>
      <c r="G12">
        <v>139.44</v>
      </c>
      <c r="H12">
        <v>53.47</v>
      </c>
      <c r="I12">
        <v>135.57</v>
      </c>
      <c r="J12">
        <v>116.98</v>
      </c>
      <c r="K12">
        <v>72.08</v>
      </c>
      <c r="L12">
        <v>3988.19</v>
      </c>
    </row>
    <row r="46" spans="1:12" ht="15.75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</row>
    <row r="47" spans="1:12" ht="15.75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</row>
    <row r="48" spans="1:12" ht="15.75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</row>
    <row r="49" spans="1:12" ht="15.7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</row>
    <row r="50" spans="1:12" ht="15.75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</row>
    <row r="51" spans="1:12" ht="15.75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</row>
    <row r="52" spans="1:12" ht="15.75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</row>
    <row r="53" spans="1:12" ht="15.75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</row>
    <row r="54" spans="1:12" ht="15.75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</row>
    <row r="55" spans="1:12" ht="15.75" x14ac:dyDescent="0.25">
      <c r="A55" s="2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Update_Portfolio_Data">
                <anchor moveWithCells="1" sizeWithCells="1">
                  <from>
                    <xdr:col>14</xdr:col>
                    <xdr:colOff>390525</xdr:colOff>
                    <xdr:row>2</xdr:row>
                    <xdr:rowOff>123825</xdr:rowOff>
                  </from>
                  <to>
                    <xdr:col>19</xdr:col>
                    <xdr:colOff>200025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70B0FA-1EFD-496C-8B84-4E992672C1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Portfolio</vt:lpstr>
      <vt:lpstr>Weblink(CNN)</vt:lpstr>
      <vt:lpstr>Historical Data</vt:lpstr>
      <vt:lpstr>'Weblink(CNN)'!quote.html?symb_IBM_MSFT_ORCL_MRK_AMZN_BAC_GOOG_UTX_WMT_XOM_FB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Stallaert</dc:creator>
  <cp:lastModifiedBy>Anusha Karunakaran</cp:lastModifiedBy>
  <dcterms:created xsi:type="dcterms:W3CDTF">2018-10-16T16:32:49Z</dcterms:created>
  <dcterms:modified xsi:type="dcterms:W3CDTF">2019-09-21T04:46:39Z</dcterms:modified>
</cp:coreProperties>
</file>